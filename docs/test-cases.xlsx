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ст-кейсы" sheetId="1" state="visible" r:id="rId3"/>
    <sheet name="Сводка" sheetId="2" state="visible" r:id="rId4"/>
  </sheets>
  <definedNames>
    <definedName function="false" hidden="true" localSheetId="0" name="_xlnm._FilterDatabase" vbProcedure="false">'Тест-кейсы'!$A$1:$F$35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<sst xmlns="http://schemas.openxmlformats.org/spreadsheetml/2006/main" count="159" uniqueCount="116">
  <si>
    <t xml:space="preserve">Номер</t>
  </si>
  <si>
    <t xml:space="preserve">Предусловия</t>
  </si>
  <si>
    <t xml:space="preserve">Шаги</t>
  </si>
  <si>
    <t xml:space="preserve">Ожидаемый результат</t>
  </si>
  <si>
    <t xml:space="preserve">Фактический результат</t>
  </si>
  <si>
    <t xml:space="preserve">Статус</t>
  </si>
  <si>
    <t xml:space="preserve">Тест-кейс №1
Квадрат 4×4 [TC-01]</t>
  </si>
  <si>
    <t xml:space="preserve">Python 3 установлен; терминал открыт в корне проекта polygon-tool (каталог examples/ доступен)</t>
  </si>
  <si>
    <t xml:space="preserve">1. Выполнить команду: python -m polygon_tool calc
2. Ввести «0 0» и нажать Enter
3. Ввести «4 0» и нажать Enter
4. Ввести «4 4» и нажать Enter
5. Ввести «0 4» и нажать Enter
6. Нажать Enter на пустой строке (завершение ввода)
7. Выполнить команду echo %ERRORLEVEL% (в PowerShell: echo $LASTEXITCODE; в Linux/macOS: echo $?) и записать код возврата</t>
  </si>
  <si>
    <t xml:space="preserve">Код возврата 0; в stdout выведено «Периметр: 16» и «Площадь: 16»</t>
  </si>
  <si>
    <t xml:space="preserve">Тест-кейс №2
Треугольник 3-4-5 [TC-02]</t>
  </si>
  <si>
    <t xml:space="preserve">1. Выполнить команду: python -m polygon_tool calc
2. Ввести «0 0» и нажать Enter
3. Ввести «3 0» и нажать Enter
4. Ввести «0 4» и нажать Enter
5. Нажать Enter на пустой строке (завершение ввода)
6. Выполнить команду echo %ERRORLEVEL% (в PowerShell: echo $LASTEXITCODE; в Linux/macOS: echo $?) и записать код возврата</t>
  </si>
  <si>
    <t xml:space="preserve">Код возврата 0; в stdout выведено «Периметр: 12» и «Площадь: 6»</t>
  </si>
  <si>
    <t xml:space="preserve">Тест-кейс №3
Невыпуклый Г-образный многоугольник [TC-03]</t>
  </si>
  <si>
    <t xml:space="preserve">1. Выполнить команду: python -m polygon_tool calc
2. Ввести «0 0» и нажать Enter
3. Ввести «4 0» и нажать Enter
4. Ввести «4 2» и нажать Enter
5. Ввести «2 2» и нажать Enter
6. Ввести «2 4» и нажать Enter
7. Ввести «0 4» и нажать Enter
8. Нажать Enter на пустой строке (завершение ввода)
9. Выполнить команду echo %ERRORLEVEL% (в PowerShell: echo $LASTEXITCODE; в Linux/macOS: echo $?) и записать код возврата</t>
  </si>
  <si>
    <t xml:space="preserve">Код возврата 0; в stdout выведено «Периметр: 16» и «Площадь: 12»</t>
  </si>
  <si>
    <t xml:space="preserve">Тест-кейс №4
Обход вершин по часовой стрелке [TC-04]</t>
  </si>
  <si>
    <t xml:space="preserve">1. Выполнить команду: python -m polygon_tool calc
2. Ввести «0 0», «4 0», «4 4», «0 4» (по одной строке, Enter после каждой)
3. Нажать Enter на пустой строке и записать значения периметра и площади (запуск А)
4. Выполнить команду: python -m polygon_tool calc
5. Ввести «0 0», «0 4», «4 4», «4 0» (по одной строке, Enter после каждой)
6. Нажать Enter на пустой строке и записать значения периметра и площади (запуск Б)
7. Сравнить результаты запусков А и Б</t>
  </si>
  <si>
    <t xml:space="preserve">В обоих запусках выведено «Периметр: 16» и «Площадь: 16»; площадь положительная и одинаковая</t>
  </si>
  <si>
    <t xml:space="preserve">Тест-кейс №5
Ввод без единой точки [TC-05]</t>
  </si>
  <si>
    <t xml:space="preserve">1. Выполнить команду: python -m polygon_tool calc
2. Нажать Enter на пустой строке
3. Выполнить команду echo %ERRORLEVEL% (в PowerShell: echo $LASTEXITCODE; в Linux/macOS: echo $?) и записать код возврата</t>
  </si>
  <si>
    <t xml:space="preserve">Код возврата 1; в stdout ничего не выведено; в stderr сообщение, начинающееся с «Ошибка»</t>
  </si>
  <si>
    <t xml:space="preserve">Тест-кейс №6
Три точки на одной прямой [TC-06]</t>
  </si>
  <si>
    <t xml:space="preserve">1. Выполнить команду: python -m polygon_tool calc
2. Ввести «0 0» и нажать Enter
3. Ввести «1 1» и нажать Enter
4. Ввести «2 2» и нажать Enter
5. Нажать Enter на пустой строке (завершение ввода)
6. Выполнить команду echo %ERRORLEVEL% (в PowerShell: echo $LASTEXITCODE; в Linux/macOS: echo $?) и записать код возврата</t>
  </si>
  <si>
    <t xml:space="preserve">Код возврата 1; в stdout ничего не выведено; в stderr сообщение, начинающееся с «Ошибка» и содержащее «одной прямой»</t>
  </si>
  <si>
    <t xml:space="preserve">Тест-кейс №7
Самопересекающийся контур «бабочка» [TC-07]</t>
  </si>
  <si>
    <t xml:space="preserve">1. Выполнить команду: python -m polygon_tool calc
2. Ввести «0 0» и нажать Enter
3. Ввести «4 4» и нажать Enter
4. Ввести «4 0» и нажать Enter
5. Ввести «0 4» и нажать Enter
6. Нажать Enter на пустой строке (завершение ввода)
7. Выполнить команду echo %ERRORLEVEL% (в PowerShell: echo $LASTEXITCODE; в Linux/macOS: echo $?) и записать код возврата</t>
  </si>
  <si>
    <t xml:space="preserve">Код возврата 1; в stdout ничего не выведено; в stderr сообщение, начинающееся с «Ошибка» и содержащее «самопересека»</t>
  </si>
  <si>
    <t xml:space="preserve">Тест-кейс №8
Повтор соседней вершины [TC-08]</t>
  </si>
  <si>
    <t xml:space="preserve">1. Выполнить команду: python -m polygon_tool calc
2. Ввести «0 0» и нажать Enter
3. Ввести «4 0» и нажать Enter
4. Ввести «4 0» и нажать Enter
5. Ввести «4 4» и нажать Enter
6. Ввести «0 4» и нажать Enter
7. Нажать Enter на пустой строке (завершение ввода)
8. Выполнить команду echo %ERRORLEVEL% (в PowerShell: echo $LASTEXITCODE; в Linux/macOS: echo $?) и записать код возврата</t>
  </si>
  <si>
    <t xml:space="preserve">Тест-кейс №9
Координата nan при вводе [TC-09]</t>
  </si>
  <si>
    <t xml:space="preserve">1. Выполнить команду: python -m polygon_tool calc
2. Ввести «0 0» и нажать Enter
3. Ввести «1 0» и нажать Enter
4. Ввести «0 nan» и нажать Enter
5. Нажать Enter на пустой строке (завершение ввода)
6. Выполнить команду echo %ERRORLEVEL% (в PowerShell: echo $LASTEXITCODE; в Linux/macOS: echo $?) и записать код возврата</t>
  </si>
  <si>
    <t xml:space="preserve">Тест-кейс №10
Дробные координаты [TC-10]</t>
  </si>
  <si>
    <t xml:space="preserve">1. Выполнить команду: python -m polygon_tool calc
2. Ввести «0 0» и нажать Enter
3. Ввести «2.5 0» и нажать Enter
4. Ввести «2.5 1.5» и нажать Enter
5. Ввести «0 1.5» и нажать Enter
6. Нажать Enter на пустой строке (завершение ввода)
7. Выполнить команду echo %ERRORLEVEL% (в PowerShell: echo $LASTEXITCODE; в Linux/macOS: echo $?) и записать код возврата</t>
  </si>
  <si>
    <t xml:space="preserve">Код возврата 0; в stdout выведено «Периметр: 8» и «Площадь: 3.75»</t>
  </si>
  <si>
    <t xml:space="preserve">Тест-кейс №11
Вершина лежит на стороне (касание контура) [TC-29]</t>
  </si>
  <si>
    <t xml:space="preserve">1. Выполнить команду: python -m polygon_tool calc
2. Ввести «0 0» и нажать Enter
3. Ввести «4 0» и нажать Enter
4. Ввести «4 4» и нажать Enter
5. Ввести «2 0» и нажать Enter
6. Ввести «0 4» и нажать Enter
7. Нажать Enter на пустой строке (завершение ввода)
8. Выполнить команду echo %ERRORLEVEL% (в PowerShell: echo $LASTEXITCODE; в Linux/macOS: echo $?) и записать код возврата</t>
  </si>
  <si>
    <t xml:space="preserve">Тест-кейс №12
Нечисловое значение в файле с указанием строки [TC-12]</t>
  </si>
  <si>
    <t xml:space="preserve">Python 3 установлен; терминал открыт в корне проекта polygon-tool (каталог examples/ доступен); создан пустой каталог tmp/</t>
  </si>
  <si>
    <t xml:space="preserve">1. Создать файл tmp/bad.txt (UTF-8) с двумя строками: «0 0» и «abc 1»
2. Выполнить команду: python -m polygon_tool calc -i tmp/bad.txt
3. Выполнить команду echo %ERRORLEVEL% (в PowerShell: echo $LASTEXITCODE; в Linux/macOS: echo $?) и записать код возврата</t>
  </si>
  <si>
    <t xml:space="preserve">Код возврата 1; в stdout ничего не выведено; в stderr сообщение, начинающееся с «Ошибка» и содержащее «строка 2»</t>
  </si>
  <si>
    <t xml:space="preserve">Тест-кейс №13
Входной файл не существует [TC-13, TC-25b]</t>
  </si>
  <si>
    <t xml:space="preserve">1. Выполнить команду: python -m polygon_tool calc -i tmp/none.txt
2. Выполнить команду echo %ERRORLEVEL% (в PowerShell: echo $LASTEXITCODE; в Linux/macOS: echo $?) и записать код возврата</t>
  </si>
  <si>
    <t xml:space="preserve">Код возврата 1; в stdout ничего не выведено; в stderr сообщение, начинающееся с «Ошибка» и содержащее «не найден»</t>
  </si>
  <si>
    <t xml:space="preserve">Тест-кейс №14
Пустой текстовый файл [TC-14]</t>
  </si>
  <si>
    <t xml:space="preserve">1. Создать пустой файл tmp/empty.txt (0 байт)
2. Выполнить команду: python -m polygon_tool calc -i tmp/empty.txt
3. Выполнить команду echo %ERRORLEVEL% (в PowerShell: echo $LASTEXITCODE; в Linux/macOS: echo $?) и записать код возврата</t>
  </si>
  <si>
    <t xml:space="preserve">Тест-кейс №15
JSON-формат: массив пар [TC-15]</t>
  </si>
  <si>
    <t xml:space="preserve">1. Создать файл tmp/p.json (UTF-8) с содержимым «[[0, 0], [3, 0], [0, 4]]»
2. Выполнить команду: python -m polygon_tool calc -i tmp/p.json
3. Выполнить команду echo %ERRORLEVEL% (в PowerShell: echo $LASTEXITCODE; в Linux/macOS: echo $?) и записать код возврата</t>
  </si>
  <si>
    <t xml:space="preserve">Тест-кейс №16
JSON-формат: массив объектов x/y [TC-15]</t>
  </si>
  <si>
    <t xml:space="preserve">1. Создать файл tmp/p.json (UTF-8) с содержимым «[{"x": 0, "y": 0}, {"x": 3, "y": 0}, {"x": 0, "y": 4}]»
2. Выполнить команду: python -m polygon_tool calc -i tmp/p.json
3. Выполнить команду echo %ERRORLEVEL% (в PowerShell: echo $LASTEXITCODE; в Linux/macOS: echo $?) и записать код возврата</t>
  </si>
  <si>
    <t xml:space="preserve">Тест-кейс №17
Синтаксически неверный JSON [TC-15]</t>
  </si>
  <si>
    <t xml:space="preserve">1. Создать файл tmp/bad.json (UTF-8) с содержимым «{not json»
2. Выполнить команду: python -m polygon_tool calc -i tmp/bad.json
3. Выполнить команду echo %ERRORLEVEL% (в PowerShell: echo $LASTEXITCODE; в Linux/macOS: echo $?) и записать код возврата</t>
  </si>
  <si>
    <t xml:space="preserve">Тест-кейс №18
CSV-файл с заголовком и BOM [TC-15]</t>
  </si>
  <si>
    <t xml:space="preserve">1. Создать файл tmp/p.csv в кодировке UTF-8 с BOM и строками: «x,y», «0,0», «2,0», «0,2»
2. Выполнить команду: python -m polygon_tool calc -i tmp/p.csv
3. Выполнить команду echo %ERRORLEVEL% (в PowerShell: echo $LASTEXITCODE; в Linux/macOS: echo $?) и записать код возврата</t>
  </si>
  <si>
    <t xml:space="preserve">Код возврата 0; в stdout выведено «Периметр: 6.828427» и «Площадь: 2»</t>
  </si>
  <si>
    <t xml:space="preserve">Тест-кейс №19
Ввод с консоли, завершение пустой строкой [TC-16, TC-26]</t>
  </si>
  <si>
    <t xml:space="preserve">Тест-кейс №20
Запись результата в JSON-файл [TC-17, TC-24]</t>
  </si>
  <si>
    <t xml:space="preserve">1. Выполнить команду: python -m polygon_tool calc -i examples/square.txt -o tmp/r.json
2. Выполнить команду echo %ERRORLEVEL% (в PowerShell: echo $LASTEXITCODE; в Linux/macOS: echo $?) и записать код возврата
3. Открыть файл tmp/r.json</t>
  </si>
  <si>
    <t xml:space="preserve">Код возврата 0; в stdout выведено «Периметр: 16»; файл содержит JSON с ключами vertices=4, perimeter=16, area=16</t>
  </si>
  <si>
    <t xml:space="preserve">Тест-кейс №21
Запись результата в недоступный путь [TC-17]</t>
  </si>
  <si>
    <t xml:space="preserve">1. Создать файл tmp/blocker с текстом «x»
2. Выполнить команду: python -m polygon_tool calc -i examples/square.txt -o tmp/blocker/r.txt
3. Выполнить команду echo %ERRORLEVEL% (в PowerShell: echo $LASTEXITCODE; в Linux/macOS: echo $?) и записать код возврата</t>
  </si>
  <si>
    <t xml:space="preserve">Тест-кейс №22
Некорректный многоугольник из файла [TC-25]</t>
  </si>
  <si>
    <t xml:space="preserve">1. Выполнить команду: python -m polygon_tool calc -i examples/bowtie_invalid.txt
2. Выполнить команду echo %ERRORLEVEL% (в PowerShell: echo $LASTEXITCODE; в Linux/macOS: echo $?) и записать код возврата</t>
  </si>
  <si>
    <t xml:space="preserve">Тест-кейс №23
Создание копии, изменение данных, восстановление последней копии [TC-18, TC-27]</t>
  </si>
  <si>
    <t xml:space="preserve">Python 3 установлен; терминал открыт в корне проекта polygon-tool (каталог examples/ доступен); каталог tmp/ отсутствует или пуст</t>
  </si>
  <si>
    <t xml:space="preserve">1. Выполнить команду: python -m polygon_tool calc -i examples/square.txt --save --data-file tmp/data/points.json --backup-dir tmp/bk
2. Выполнить команду: python -m polygon_tool backup --data-file tmp/data/points.json --backup-dir tmp/bk
3. Выполнить команду: python -m polygon_tool calc -i examples/triangle.json --save --data-file tmp/data/points.json --backup-dir tmp/bk
4. Выполнить команду: python -m polygon_tool restore --latest --data-file tmp/data/points.json --backup-dir tmp/bk
5. Выполнить команду: python -m polygon_tool calc -i tmp/data/points.json</t>
  </si>
  <si>
    <t xml:space="preserve">Команда backup выводит «Копия создана», restore завершается с кодом 0; последняя команда выводит «Площадь: 16» (данные квадрата)</t>
  </si>
  <si>
    <t xml:space="preserve">Тест-кейс №24
Восстановление конкретной копии по имени файла [TC-18b]</t>
  </si>
  <si>
    <t xml:space="preserve">1. Выполнить команду: python -m polygon_tool calc -i examples/square.txt --save --data-file tmp/data/points.json --backup-dir tmp/bk
2. Выполнить команду: python -m polygon_tool backup --data-file tmp/data/points.json --backup-dir tmp/bk
3. Выполнить команду: python -m polygon_tool calc -i examples/triangle.json --save --data-file tmp/data/points.json --backup-dir tmp/bk
4. Выполнить команду: python -m polygon_tool backup --data-file tmp/data/points.json --backup-dir tmp/bk
5. Выполнить команду: python -m polygon_tool list-backups --data-file tmp/data/points.json --backup-dir tmp/bk
6. Записать имя самой старой копии из списка (копия квадрата)
7. Выполнить команду: python -m polygon_tool restore --file tmp/bk/&lt;имя_старой_копии&gt; --data-file tmp/data/points.json --backup-dir tmp/bk
8. Выполнить команду: python -m polygon_tool calc -i tmp/data/points.json</t>
  </si>
  <si>
    <t xml:space="preserve">Восстановление завершается с кодом 0; последняя команда выводит «Площадь: 16» (данные квадрата, а не последней копии)</t>
  </si>
  <si>
    <t xml:space="preserve">Тест-кейс №25
Проверка целостности исправной копии [TC-27b]</t>
  </si>
  <si>
    <t xml:space="preserve">1. Выполнить команду: python -m polygon_tool calc -i examples/square.txt --save --data-file tmp/data/points.json --backup-dir tmp/bk
2. Выполнить команду: python -m polygon_tool backup --data-file tmp/data/points.json --backup-dir tmp/bk
3. Выполнить команду: python -m polygon_tool verify --data-file tmp/data/points.json --backup-dir tmp/bk
4. Выполнить команду echo %ERRORLEVEL% (в PowerShell: echo $LASTEXITCODE; в Linux/macOS: echo $?) и записать код возврата</t>
  </si>
  <si>
    <t xml:space="preserve">Код возврата 0; в stdout выведено «OK»</t>
  </si>
  <si>
    <t xml:space="preserve">Тест-кейс №26
Проверка копии с изменённым содержимым [TC-19]</t>
  </si>
  <si>
    <t xml:space="preserve">1. Выполнить команду: python -m polygon_tool calc -i examples/square.txt --save --data-file tmp/data/points.json --backup-dir tmp/bk
2. Выполнить команду: python -m polygon_tool backup --data-file tmp/data/points.json --backup-dir tmp/bk
3. Открыть единственный файл копии в tmp/bk/ (points_&lt;время&gt;.json) в текстовом редакторе
4. Заменить первое вхождение «4.0» на «5.0» и сохранить файл
5. Выполнить команду: python -m polygon_tool verify --data-file tmp/data/points.json --backup-dir tmp/bk
6. Выполнить команду echo %ERRORLEVEL% (в PowerShell: echo $LASTEXITCODE; в Linux/macOS: echo $?) и записать код возврата</t>
  </si>
  <si>
    <t xml:space="preserve">Код возврата 3; в stdout выведено «ОШИБКА» и указание на несовпадение контрольной суммы</t>
  </si>
  <si>
    <t xml:space="preserve">Тест-кейс №27
Ротация: хранятся только последние 3 копии [TC-20]</t>
  </si>
  <si>
    <t xml:space="preserve">1. Выполнить команду: python -m polygon_tool calc -i examples/square.txt --save --data-file tmp/data/points.json --backup-dir tmp/bk
2. Выполнить команду: python -m polygon_tool backup --keep 3 --data-file tmp/data/points.json --backup-dir tmp/bk (запуск 1; между запусками подождать 2 секунды)
3. Выполнить команду: python -m polygon_tool backup --keep 3 --data-file tmp/data/points.json --backup-dir tmp/bk (запуск 2; между запусками подождать 2 секунды)
4. Выполнить команду: python -m polygon_tool backup --keep 3 --data-file tmp/data/points.json --backup-dir tmp/bk (запуск 3; между запусками подождать 2 секунды)
5. Выполнить команду: python -m polygon_tool backup --keep 3 --data-file tmp/data/points.json --backup-dir tmp/bk (запуск 4; между запусками подождать 2 секунды)
6. Выполнить команду: python -m polygon_tool backup --keep 3 --data-file tmp/data/points.json --backup-dir tmp/bk (запуск 5; между запусками подождать 2 секунды)
7. Выполнить команду: python -m polygon_tool list-backups --data-file tmp/data/points.json --backup-dir tmp/bk
8. Просмотреть содержимое каталога tmp/bk/</t>
  </si>
  <si>
    <t xml:space="preserve">В списке 3 копии (три самые поздние); в tmp/bk/ остались только 3 файла копий и 3 файла манифестов, файлы двух старых копий и их манифесты удалены</t>
  </si>
  <si>
    <t xml:space="preserve">Тест-кейс №28
Восстановление создаёт снимок текущего состояния [TC-21]</t>
  </si>
  <si>
    <t xml:space="preserve">1. Выполнить команду: python -m polygon_tool calc -i examples/square.txt --save --data-file tmp/data/points.json --backup-dir tmp/bk
2. Выполнить команду: python -m polygon_tool backup --data-file tmp/data/points.json --backup-dir tmp/bk
3. Выполнить команду: python -m polygon_tool calc -i examples/triangle.json --save --data-file tmp/data/points.json --backup-dir tmp/bk
4. Выполнить команду: python -m polygon_tool restore --latest --data-file tmp/data/points.json --backup-dir tmp/bk
5. Выполнить команду: python -m polygon_tool list-backups --data-file tmp/data/points.json --backup-dir tmp/bk
6. Выполнить команду: python -m polygon_tool restore --latest --data-file tmp/data/points.json --backup-dir tmp/bk
7. Выполнить команду: python -m polygon_tool calc -i tmp/data/points.json</t>
  </si>
  <si>
    <t xml:space="preserve">После первого restore в списке 2 копии (исходная и снимок перед восстановлением); после второго restore последняя команда выводит «Площадь: 6» (откат к треугольнику)</t>
  </si>
  <si>
    <t xml:space="preserve">Тест-кейс №29
Отсутствующий файл манифеста [TC-22]</t>
  </si>
  <si>
    <t xml:space="preserve">1. Выполнить команду: python -m polygon_tool calc -i examples/square.txt --save --data-file tmp/data/points.json --backup-dir tmp/bk
2. Выполнить команду: python -m polygon_tool backup --data-file tmp/data/points.json --backup-dir tmp/bk
3. Найти в tmp/bk/ файл манифеста этой копии (второй файл с похожим именем)
4. Удалить файл манифеста
5. Выполнить команду: python -m polygon_tool restore --latest --data-file tmp/data/points.json --backup-dir tmp/bk
6. Выполнить команду echo %ERRORLEVEL% (в PowerShell: echo $LASTEXITCODE; в Linux/macOS: echo $?) и записать код возврата</t>
  </si>
  <si>
    <t xml:space="preserve">Код возврата 3; в stdout ничего не выведено; в stderr сообщение, начинающееся с «Ошибка» и содержащее «манифест»</t>
  </si>
  <si>
    <t xml:space="preserve">Тест-кейс №30
Восстановление при отсутствии копий [TC-23, TC-27d]</t>
  </si>
  <si>
    <t xml:space="preserve">1. Выполнить команду: python -m polygon_tool restore --data-file tmp/data/points.json --backup-dir tmp/bk
2. Выполнить команду echo %ERRORLEVEL% (в PowerShell: echo $LASTEXITCODE; в Linux/macOS: echo $?) и записать код возврата</t>
  </si>
  <si>
    <t xml:space="preserve">Код возврата 3; в stdout ничего не выведено; в stderr сообщение, начинающееся с «Ошибка» и содержащее «Резервных копий нет»</t>
  </si>
  <si>
    <t xml:space="preserve">Тест-кейс №31
Создание копии без файла данных [TC-23b]</t>
  </si>
  <si>
    <t xml:space="preserve">1. Выполнить команду: python -m polygon_tool backup --data-file tmp/data/points.json --backup-dir tmp/bk
2. Выполнить команду echo %ERRORLEVEL% (в PowerShell: echo $LASTEXITCODE; в Linux/macOS: echo $?) и записать код возврата</t>
  </si>
  <si>
    <t xml:space="preserve">Код возврата 3; в stdout ничего не выведено; в stderr сообщение, начинающееся с «Ошибка»</t>
  </si>
  <si>
    <t xml:space="preserve">Тест-кейс №32
Восстановление заменяет повреждённый файл данных [TC-23d]</t>
  </si>
  <si>
    <t xml:space="preserve">1. Выполнить команду: python -m polygon_tool calc -i examples/square.txt --save --data-file tmp/data/points.json --backup-dir tmp/bk
2. Выполнить команду: python -m polygon_tool backup --data-file tmp/data/points.json --backup-dir tmp/bk
3. Заменить всё содержимое tmp/data/points.json на «garbage» и сохранить
4. Выполнить команду: python -m polygon_tool restore --latest --data-file tmp/data/points.json --backup-dir tmp/bk
5. Выполнить команду: python -m polygon_tool calc -i tmp/data/points.json</t>
  </si>
  <si>
    <t xml:space="preserve">restore завершается с кодом 0; последняя команда выводит «Площадь: 16»</t>
  </si>
  <si>
    <t xml:space="preserve">Тест-кейс №33
Недопустимый лимит копий --keep 0 [TC-32]</t>
  </si>
  <si>
    <t xml:space="preserve">1. Выполнить команду: python -m polygon_tool calc -i examples/square.txt --save --data-file tmp/data/points.json --backup-dir tmp/bk
2. Выполнить команду: python -m polygon_tool backup --keep 0 --data-file tmp/data/points.json --backup-dir tmp/bk
3. Выполнить команду echo %ERRORLEVEL% (в PowerShell: echo $LASTEXITCODE; в Linux/macOS: echo $?) и записать код возврата</t>
  </si>
  <si>
    <t xml:space="preserve">Тест-кейс №34
Запуск без команды [TC-31]</t>
  </si>
  <si>
    <t xml:space="preserve">1. Выполнить команду: python -m polygon_tool
2. Выполнить команду echo %ERRORLEVEL% (в PowerShell: echo $LASTEXITCODE; в Linux/macOS: echo $?) и записать код возврата</t>
  </si>
  <si>
    <t xml:space="preserve">Код возврата 2; выведена справка по использованию (usage)</t>
  </si>
  <si>
    <t xml:space="preserve">Сводка по прохождению</t>
  </si>
  <si>
    <t xml:space="preserve">Всего тест-кейсов</t>
  </si>
  <si>
    <t xml:space="preserve">Считается по столбцу «Номер»</t>
  </si>
  <si>
    <t xml:space="preserve">Passed (пройден)</t>
  </si>
  <si>
    <t xml:space="preserve">Failed (провален)</t>
  </si>
  <si>
    <t xml:space="preserve">Blocked (заблокирован)</t>
  </si>
  <si>
    <t xml:space="preserve">Не выполнено</t>
  </si>
  <si>
    <t xml:space="preserve">Столбец «Статус» ещё пуст</t>
  </si>
  <si>
    <t xml:space="preserve">Доля пройденных</t>
  </si>
  <si>
    <t xml:space="preserve">Как заполнять</t>
  </si>
  <si>
    <t xml:space="preserve">Заполняйте только столбцы «Фактический результат» и «Статус» (статус выбирается из списка).</t>
  </si>
  <si>
    <t xml:space="preserve">Допущения при составлении</t>
  </si>
  <si>
    <t xml:space="preserve">1. Команда запуска принята как «python -m polygon_tool»; если в проекте запуск другой (например, polygon-tool или python -m polygon_tool.cli), замените префикс в шагах через Ctrl+H.</t>
  </si>
  <si>
    <t xml:space="preserve">2. Тест-кейсы составлены по автотестам test_geometry.py, test_io.py, test_backup.py, test_cli.py; номера TC-xx в названии указывают на соответствующий автотест.</t>
  </si>
  <si>
    <t xml:space="preserve">3. Параметр --keep для команды restore и имена файлов в tmp/bk/ приняты по тестам; сверьте с --help программы.</t>
  </si>
  <si>
    <t xml:space="preserve">Коды возврата</t>
  </si>
  <si>
    <t xml:space="preserve">0 — успех; 1 — ошибка данных или ввода; 2 — неверное использование (argparse); 3 — ошибка резервного копирования.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</si>
</sst>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70"/>
    <col collapsed="false" customWidth="true" hidden="false" outlineLevel="0" max="4" min="4" style="0" width="48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14" hidden="false" customHeight="tru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/>
      <c r="F2" s="4"/>
    </row>
    <row r="3" customFormat="false" ht="100.5" hidden="false" customHeight="true" outlineLevel="0" collapsed="false">
      <c r="A3" s="2" t="s">
        <v>10</v>
      </c>
      <c r="B3" s="3" t="s">
        <v>7</v>
      </c>
      <c r="C3" s="3" t="s">
        <v>11</v>
      </c>
      <c r="D3" s="3" t="s">
        <v>12</v>
      </c>
      <c r="E3" s="3"/>
      <c r="F3" s="4"/>
    </row>
    <row r="4" customFormat="false" ht="141" hidden="false" customHeight="true" outlineLevel="0" collapsed="false">
      <c r="A4" s="2" t="s">
        <v>13</v>
      </c>
      <c r="B4" s="3" t="s">
        <v>7</v>
      </c>
      <c r="C4" s="3" t="s">
        <v>14</v>
      </c>
      <c r="D4" s="3" t="s">
        <v>15</v>
      </c>
      <c r="E4" s="3"/>
      <c r="F4" s="4"/>
    </row>
    <row r="5" customFormat="false" ht="154.5" hidden="false" customHeight="true" outlineLevel="0" collapsed="false">
      <c r="A5" s="2" t="s">
        <v>16</v>
      </c>
      <c r="B5" s="3" t="s">
        <v>7</v>
      </c>
      <c r="C5" s="3" t="s">
        <v>17</v>
      </c>
      <c r="D5" s="3" t="s">
        <v>18</v>
      </c>
      <c r="E5" s="3"/>
      <c r="F5" s="4"/>
    </row>
    <row r="6" customFormat="false" ht="60" hidden="false" customHeight="true" outlineLevel="0" collapsed="false">
      <c r="A6" s="2" t="s">
        <v>19</v>
      </c>
      <c r="B6" s="3" t="s">
        <v>7</v>
      </c>
      <c r="C6" s="3" t="s">
        <v>20</v>
      </c>
      <c r="D6" s="3" t="s">
        <v>21</v>
      </c>
      <c r="E6" s="3"/>
      <c r="F6" s="4"/>
    </row>
    <row r="7" customFormat="false" ht="100.5" hidden="false" customHeight="true" outlineLevel="0" collapsed="false">
      <c r="A7" s="2" t="s">
        <v>22</v>
      </c>
      <c r="B7" s="3" t="s">
        <v>7</v>
      </c>
      <c r="C7" s="3" t="s">
        <v>23</v>
      </c>
      <c r="D7" s="3" t="s">
        <v>24</v>
      </c>
      <c r="E7" s="3"/>
      <c r="F7" s="4"/>
    </row>
    <row r="8" customFormat="false" ht="114" hidden="false" customHeight="true" outlineLevel="0" collapsed="false">
      <c r="A8" s="2" t="s">
        <v>25</v>
      </c>
      <c r="B8" s="3" t="s">
        <v>7</v>
      </c>
      <c r="C8" s="3" t="s">
        <v>26</v>
      </c>
      <c r="D8" s="3" t="s">
        <v>27</v>
      </c>
      <c r="E8" s="3"/>
      <c r="F8" s="4"/>
    </row>
    <row r="9" customFormat="false" ht="127.5" hidden="false" customHeight="true" outlineLevel="0" collapsed="false">
      <c r="A9" s="2" t="s">
        <v>28</v>
      </c>
      <c r="B9" s="3" t="s">
        <v>7</v>
      </c>
      <c r="C9" s="3" t="s">
        <v>29</v>
      </c>
      <c r="D9" s="3" t="s">
        <v>21</v>
      </c>
      <c r="E9" s="3"/>
      <c r="F9" s="4"/>
    </row>
    <row r="10" customFormat="false" ht="100.5" hidden="false" customHeight="true" outlineLevel="0" collapsed="false">
      <c r="A10" s="2" t="s">
        <v>30</v>
      </c>
      <c r="B10" s="3" t="s">
        <v>7</v>
      </c>
      <c r="C10" s="3" t="s">
        <v>31</v>
      </c>
      <c r="D10" s="3" t="s">
        <v>21</v>
      </c>
      <c r="E10" s="3"/>
      <c r="F10" s="4"/>
    </row>
    <row r="11" customFormat="false" ht="114" hidden="false" customHeight="true" outlineLevel="0" collapsed="false">
      <c r="A11" s="2" t="s">
        <v>32</v>
      </c>
      <c r="B11" s="3" t="s">
        <v>7</v>
      </c>
      <c r="C11" s="3" t="s">
        <v>33</v>
      </c>
      <c r="D11" s="3" t="s">
        <v>34</v>
      </c>
      <c r="E11" s="3"/>
      <c r="F11" s="4"/>
    </row>
    <row r="12" customFormat="false" ht="127.5" hidden="false" customHeight="true" outlineLevel="0" collapsed="false">
      <c r="A12" s="2" t="s">
        <v>35</v>
      </c>
      <c r="B12" s="3" t="s">
        <v>7</v>
      </c>
      <c r="C12" s="3" t="s">
        <v>36</v>
      </c>
      <c r="D12" s="3" t="s">
        <v>21</v>
      </c>
      <c r="E12" s="3"/>
      <c r="F12" s="4"/>
    </row>
    <row r="13" customFormat="false" ht="60" hidden="false" customHeight="true" outlineLevel="0" collapsed="false">
      <c r="A13" s="2" t="s">
        <v>37</v>
      </c>
      <c r="B13" s="3" t="s">
        <v>38</v>
      </c>
      <c r="C13" s="3" t="s">
        <v>39</v>
      </c>
      <c r="D13" s="3" t="s">
        <v>40</v>
      </c>
      <c r="E13" s="3"/>
      <c r="F13" s="4"/>
    </row>
    <row r="14" customFormat="false" ht="60" hidden="false" customHeight="true" outlineLevel="0" collapsed="false">
      <c r="A14" s="2" t="s">
        <v>41</v>
      </c>
      <c r="B14" s="3" t="s">
        <v>38</v>
      </c>
      <c r="C14" s="3" t="s">
        <v>42</v>
      </c>
      <c r="D14" s="3" t="s">
        <v>43</v>
      </c>
      <c r="E14" s="3"/>
      <c r="F14" s="4"/>
    </row>
    <row r="15" customFormat="false" ht="60" hidden="false" customHeight="true" outlineLevel="0" collapsed="false">
      <c r="A15" s="2" t="s">
        <v>44</v>
      </c>
      <c r="B15" s="3" t="s">
        <v>38</v>
      </c>
      <c r="C15" s="3" t="s">
        <v>45</v>
      </c>
      <c r="D15" s="3" t="s">
        <v>21</v>
      </c>
      <c r="E15" s="3"/>
      <c r="F15" s="4"/>
    </row>
    <row r="16" customFormat="false" ht="73.5" hidden="false" customHeight="true" outlineLevel="0" collapsed="false">
      <c r="A16" s="2" t="s">
        <v>46</v>
      </c>
      <c r="B16" s="3" t="s">
        <v>38</v>
      </c>
      <c r="C16" s="3" t="s">
        <v>47</v>
      </c>
      <c r="D16" s="3" t="s">
        <v>12</v>
      </c>
      <c r="E16" s="3"/>
      <c r="F16" s="4"/>
    </row>
    <row r="17" customFormat="false" ht="73.5" hidden="false" customHeight="true" outlineLevel="0" collapsed="false">
      <c r="A17" s="2" t="s">
        <v>48</v>
      </c>
      <c r="B17" s="3" t="s">
        <v>38</v>
      </c>
      <c r="C17" s="3" t="s">
        <v>49</v>
      </c>
      <c r="D17" s="3" t="s">
        <v>12</v>
      </c>
      <c r="E17" s="3"/>
      <c r="F17" s="4"/>
    </row>
    <row r="18" customFormat="false" ht="60" hidden="false" customHeight="true" outlineLevel="0" collapsed="false">
      <c r="A18" s="2" t="s">
        <v>50</v>
      </c>
      <c r="B18" s="3" t="s">
        <v>38</v>
      </c>
      <c r="C18" s="3" t="s">
        <v>51</v>
      </c>
      <c r="D18" s="3" t="s">
        <v>21</v>
      </c>
      <c r="E18" s="3"/>
      <c r="F18" s="4"/>
    </row>
    <row r="19" customFormat="false" ht="73.5" hidden="false" customHeight="true" outlineLevel="0" collapsed="false">
      <c r="A19" s="2" t="s">
        <v>52</v>
      </c>
      <c r="B19" s="3" t="s">
        <v>38</v>
      </c>
      <c r="C19" s="3" t="s">
        <v>53</v>
      </c>
      <c r="D19" s="3" t="s">
        <v>54</v>
      </c>
      <c r="E19" s="3"/>
      <c r="F19" s="4"/>
    </row>
    <row r="20" customFormat="false" ht="100.5" hidden="false" customHeight="true" outlineLevel="0" collapsed="false">
      <c r="A20" s="2" t="s">
        <v>55</v>
      </c>
      <c r="B20" s="3" t="s">
        <v>7</v>
      </c>
      <c r="C20" s="3" t="s">
        <v>11</v>
      </c>
      <c r="D20" s="3" t="s">
        <v>12</v>
      </c>
      <c r="E20" s="3"/>
      <c r="F20" s="4"/>
    </row>
    <row r="21" customFormat="false" ht="73.5" hidden="false" customHeight="true" outlineLevel="0" collapsed="false">
      <c r="A21" s="2" t="s">
        <v>56</v>
      </c>
      <c r="B21" s="3" t="s">
        <v>38</v>
      </c>
      <c r="C21" s="3" t="s">
        <v>57</v>
      </c>
      <c r="D21" s="3" t="s">
        <v>58</v>
      </c>
      <c r="E21" s="3"/>
      <c r="F21" s="4"/>
    </row>
    <row r="22" customFormat="false" ht="73.5" hidden="false" customHeight="true" outlineLevel="0" collapsed="false">
      <c r="A22" s="2" t="s">
        <v>59</v>
      </c>
      <c r="B22" s="3" t="s">
        <v>38</v>
      </c>
      <c r="C22" s="3" t="s">
        <v>60</v>
      </c>
      <c r="D22" s="3" t="s">
        <v>21</v>
      </c>
      <c r="E22" s="3"/>
      <c r="F22" s="4"/>
    </row>
    <row r="23" customFormat="false" ht="60" hidden="false" customHeight="true" outlineLevel="0" collapsed="false">
      <c r="A23" s="2" t="s">
        <v>61</v>
      </c>
      <c r="B23" s="3" t="s">
        <v>7</v>
      </c>
      <c r="C23" s="3" t="s">
        <v>62</v>
      </c>
      <c r="D23" s="3" t="s">
        <v>21</v>
      </c>
      <c r="E23" s="3"/>
      <c r="F23" s="4"/>
    </row>
    <row r="24" customFormat="false" ht="127.5" hidden="false" customHeight="true" outlineLevel="0" collapsed="false">
      <c r="A24" s="2" t="s">
        <v>63</v>
      </c>
      <c r="B24" s="3" t="s">
        <v>64</v>
      </c>
      <c r="C24" s="3" t="s">
        <v>65</v>
      </c>
      <c r="D24" s="3" t="s">
        <v>66</v>
      </c>
      <c r="E24" s="3"/>
      <c r="F24" s="4"/>
    </row>
    <row r="25" customFormat="false" ht="195" hidden="false" customHeight="true" outlineLevel="0" collapsed="false">
      <c r="A25" s="2" t="s">
        <v>67</v>
      </c>
      <c r="B25" s="3" t="s">
        <v>64</v>
      </c>
      <c r="C25" s="3" t="s">
        <v>68</v>
      </c>
      <c r="D25" s="3" t="s">
        <v>69</v>
      </c>
      <c r="E25" s="3"/>
      <c r="F25" s="4"/>
    </row>
    <row r="26" customFormat="false" ht="114" hidden="false" customHeight="true" outlineLevel="0" collapsed="false">
      <c r="A26" s="2" t="s">
        <v>70</v>
      </c>
      <c r="B26" s="3" t="s">
        <v>64</v>
      </c>
      <c r="C26" s="3" t="s">
        <v>71</v>
      </c>
      <c r="D26" s="3" t="s">
        <v>72</v>
      </c>
      <c r="E26" s="3"/>
      <c r="F26" s="4"/>
    </row>
    <row r="27" customFormat="false" ht="154.5" hidden="false" customHeight="true" outlineLevel="0" collapsed="false">
      <c r="A27" s="2" t="s">
        <v>73</v>
      </c>
      <c r="B27" s="3" t="s">
        <v>64</v>
      </c>
      <c r="C27" s="3" t="s">
        <v>74</v>
      </c>
      <c r="D27" s="3" t="s">
        <v>75</v>
      </c>
      <c r="E27" s="3"/>
      <c r="F27" s="4"/>
    </row>
    <row r="28" customFormat="false" ht="276" hidden="false" customHeight="true" outlineLevel="0" collapsed="false">
      <c r="A28" s="2" t="s">
        <v>76</v>
      </c>
      <c r="B28" s="3" t="s">
        <v>64</v>
      </c>
      <c r="C28" s="3" t="s">
        <v>77</v>
      </c>
      <c r="D28" s="3" t="s">
        <v>78</v>
      </c>
      <c r="E28" s="3"/>
      <c r="F28" s="4"/>
    </row>
    <row r="29" customFormat="false" ht="181.5" hidden="false" customHeight="true" outlineLevel="0" collapsed="false">
      <c r="A29" s="2" t="s">
        <v>79</v>
      </c>
      <c r="B29" s="3" t="s">
        <v>64</v>
      </c>
      <c r="C29" s="3" t="s">
        <v>80</v>
      </c>
      <c r="D29" s="3" t="s">
        <v>81</v>
      </c>
      <c r="E29" s="3"/>
      <c r="F29" s="4"/>
    </row>
    <row r="30" customFormat="false" ht="154.5" hidden="false" customHeight="true" outlineLevel="0" collapsed="false">
      <c r="A30" s="2" t="s">
        <v>82</v>
      </c>
      <c r="B30" s="3" t="s">
        <v>64</v>
      </c>
      <c r="C30" s="3" t="s">
        <v>83</v>
      </c>
      <c r="D30" s="3" t="s">
        <v>84</v>
      </c>
      <c r="E30" s="3"/>
      <c r="F30" s="4"/>
    </row>
    <row r="31" customFormat="false" ht="60" hidden="false" customHeight="true" outlineLevel="0" collapsed="false">
      <c r="A31" s="2" t="s">
        <v>85</v>
      </c>
      <c r="B31" s="3" t="s">
        <v>64</v>
      </c>
      <c r="C31" s="3" t="s">
        <v>86</v>
      </c>
      <c r="D31" s="3" t="s">
        <v>87</v>
      </c>
      <c r="E31" s="3"/>
      <c r="F31" s="4"/>
    </row>
    <row r="32" customFormat="false" ht="60" hidden="false" customHeight="true" outlineLevel="0" collapsed="false">
      <c r="A32" s="2" t="s">
        <v>88</v>
      </c>
      <c r="B32" s="3" t="s">
        <v>64</v>
      </c>
      <c r="C32" s="3" t="s">
        <v>89</v>
      </c>
      <c r="D32" s="3" t="s">
        <v>90</v>
      </c>
      <c r="E32" s="3"/>
      <c r="F32" s="4"/>
    </row>
    <row r="33" customFormat="false" ht="114" hidden="false" customHeight="true" outlineLevel="0" collapsed="false">
      <c r="A33" s="2" t="s">
        <v>91</v>
      </c>
      <c r="B33" s="3" t="s">
        <v>64</v>
      </c>
      <c r="C33" s="3" t="s">
        <v>92</v>
      </c>
      <c r="D33" s="3" t="s">
        <v>93</v>
      </c>
      <c r="E33" s="3"/>
      <c r="F33" s="4"/>
    </row>
    <row r="34" customFormat="false" ht="87" hidden="false" customHeight="true" outlineLevel="0" collapsed="false">
      <c r="A34" s="2" t="s">
        <v>94</v>
      </c>
      <c r="B34" s="3" t="s">
        <v>64</v>
      </c>
      <c r="C34" s="3" t="s">
        <v>95</v>
      </c>
      <c r="D34" s="3" t="s">
        <v>21</v>
      </c>
      <c r="E34" s="3"/>
      <c r="F34" s="4"/>
    </row>
    <row r="35" customFormat="false" ht="46.5" hidden="false" customHeight="true" outlineLevel="0" collapsed="false">
      <c r="A35" s="2" t="s">
        <v>96</v>
      </c>
      <c r="B35" s="3" t="s">
        <v>7</v>
      </c>
      <c r="C35" s="3" t="s">
        <v>97</v>
      </c>
      <c r="D35" s="3" t="s">
        <v>98</v>
      </c>
      <c r="E35" s="3"/>
      <c r="F35" s="4"/>
    </row>
  </sheetData>
  <autoFilter ref="A1:F35"/>
  <conditionalFormatting sqref="F2:F35">
    <cfRule type="cellIs" priority="2" operator="equal" aboveAverage="0" equalAverage="0" bottom="0" percent="0" rank="0" text="" dxfId="3">
      <formula>"Passed"</formula>
    </cfRule>
    <cfRule type="cellIs" priority="3" operator="equal" aboveAverage="0" equalAverage="0" bottom="0" percent="0" rank="0" text="" dxfId="4">
      <formula>"Failed"</formula>
    </cfRule>
    <cfRule type="cellIs" priority="4" operator="equal" aboveAverage="0" equalAverage="0" bottom="0" percent="0" rank="0" text="" dxfId="5">
      <formula>"Blocked"</formula>
    </cfRule>
  </conditionalFormatting>
  <dataValidations count="1">
    <dataValidation allowBlank="true" error="Выберите Passed, Failed или Blocked" errorStyle="stop" errorTitle="Статус" operator="between" showDropDown="false" showErrorMessage="true" showInputMessage="false" sqref="F2:F35" type="list">
      <formula1>"Passed,Failed,Blocked"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/>
      <c r="B1" s="5"/>
      <c r="C1" s="5"/>
    </row>
    <row r="2" customFormat="false" ht="15" hidden="false" customHeight="false" outlineLevel="0" collapsed="false">
      <c r="A2" s="6" t="s">
        <v>99</v>
      </c>
      <c r="B2" s="5"/>
      <c r="C2" s="5"/>
    </row>
    <row r="3" customFormat="false" ht="15" hidden="false" customHeight="false" outlineLevel="0" collapsed="false">
      <c r="A3" s="5" t="s">
        <v>100</v>
      </c>
      <c r="B3" s="5" t="n">
        <f aca="false">COUNTA('Тест-кейсы'!$A$2:$A$35)</f>
        <v>34</v>
      </c>
      <c r="C3" s="5" t="s">
        <v>101</v>
      </c>
    </row>
    <row r="4" customFormat="false" ht="15" hidden="false" customHeight="false" outlineLevel="0" collapsed="false">
      <c r="A4" s="5" t="s">
        <v>102</v>
      </c>
      <c r="B4" s="5" t="n">
        <f aca="false">COUNTIF('Тест-кейсы'!$F$2:$F$35,"Passed")</f>
        <v>0</v>
      </c>
      <c r="C4" s="5"/>
    </row>
    <row r="5" customFormat="false" ht="15" hidden="false" customHeight="false" outlineLevel="0" collapsed="false">
      <c r="A5" s="5" t="s">
        <v>103</v>
      </c>
      <c r="B5" s="5" t="n">
        <f aca="false">COUNTIF('Тест-кейсы'!$F$2:$F$35,"Failed")</f>
        <v>0</v>
      </c>
      <c r="C5" s="5"/>
    </row>
    <row r="6" customFormat="false" ht="15" hidden="false" customHeight="false" outlineLevel="0" collapsed="false">
      <c r="A6" s="5" t="s">
        <v>104</v>
      </c>
      <c r="B6" s="5" t="n">
        <f aca="false">COUNTIF('Тест-кейсы'!$F$2:$F$35,"Blocked")</f>
        <v>0</v>
      </c>
      <c r="C6" s="5"/>
    </row>
    <row r="7" customFormat="false" ht="15" hidden="false" customHeight="false" outlineLevel="0" collapsed="false">
      <c r="A7" s="5" t="s">
        <v>105</v>
      </c>
      <c r="B7" s="5" t="n">
        <f aca="false">B3-B4-B5-B6</f>
        <v>34</v>
      </c>
      <c r="C7" s="5" t="s">
        <v>106</v>
      </c>
    </row>
    <row r="8" customFormat="false" ht="15" hidden="false" customHeight="false" outlineLevel="0" collapsed="false">
      <c r="A8" s="5" t="s">
        <v>107</v>
      </c>
      <c r="B8" s="7" t="n">
        <f aca="false">IF(B3=0,0,B4/B3)</f>
        <v>0</v>
      </c>
      <c r="C8" s="5"/>
    </row>
    <row r="9" customFormat="false" ht="15" hidden="false" customHeight="false" outlineLevel="0" collapsed="false">
      <c r="A9" s="5"/>
      <c r="B9" s="5"/>
      <c r="C9" s="5"/>
    </row>
    <row r="10" customFormat="false" ht="15" hidden="false" customHeight="false" outlineLevel="0" collapsed="false">
      <c r="A10" s="5"/>
      <c r="B10" s="5"/>
      <c r="C10" s="5"/>
    </row>
    <row r="11" customFormat="false" ht="15" hidden="false" customHeight="false" outlineLevel="0" collapsed="false">
      <c r="A11" s="8" t="s">
        <v>108</v>
      </c>
      <c r="B11" s="5"/>
      <c r="C11" s="5"/>
    </row>
    <row r="12" customFormat="false" ht="15" hidden="false" customHeight="false" outlineLevel="0" collapsed="false">
      <c r="A12" s="9" t="s">
        <v>109</v>
      </c>
      <c r="B12" s="5"/>
      <c r="C12" s="5"/>
    </row>
    <row r="13" customFormat="false" ht="15" hidden="false" customHeight="false" outlineLevel="0" collapsed="false">
      <c r="A13" s="8" t="s">
        <v>110</v>
      </c>
      <c r="B13" s="5"/>
      <c r="C13" s="5"/>
    </row>
    <row r="14" customFormat="false" ht="15" hidden="false" customHeight="false" outlineLevel="0" collapsed="false">
      <c r="A14" s="9" t="s">
        <v>111</v>
      </c>
      <c r="B14" s="5"/>
      <c r="C14" s="5"/>
    </row>
    <row r="15" customFormat="false" ht="15" hidden="false" customHeight="false" outlineLevel="0" collapsed="false">
      <c r="A15" s="9" t="s">
        <v>112</v>
      </c>
      <c r="B15" s="5"/>
      <c r="C15" s="5"/>
    </row>
    <row r="16" customFormat="false" ht="15" hidden="false" customHeight="false" outlineLevel="0" collapsed="false">
      <c r="A16" s="9" t="s">
        <v>113</v>
      </c>
      <c r="B16" s="5"/>
      <c r="C16" s="5"/>
    </row>
    <row r="17" customFormat="false" ht="15" hidden="false" customHeight="false" outlineLevel="0" collapsed="false">
      <c r="A17" s="8" t="s">
        <v>114</v>
      </c>
      <c r="B17" s="5"/>
      <c r="C17" s="5"/>
    </row>
    <row r="18" customFormat="false" ht="15" hidden="false" customHeight="false" outlineLevel="0" collapsed="false">
      <c r="A18" s="9" t="s">
        <v>115</v>
      </c>
      <c r="B18" s="5"/>
      <c r="C1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2026-10-24T02:21:57Z</dcterms:created>
  <dc:creator>openpyxl</dc:creator>
  <dc:description/>
  <dc:language>en-US</dc:language>
  <cp:lastModifiedBy/>
  <dcterms:modified xsi:type="dcterms:W3CDTF">2026-10-24T02:21:57Z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